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CEF3551A-B8F0-4260-942A-22780B8619DA}" xr6:coauthVersionLast="47" xr6:coauthVersionMax="47" xr10:uidLastSave="{00000000-0000-0000-0000-000000000000}"/>
  <bookViews>
    <workbookView xWindow="-120" yWindow="-120" windowWidth="29040" windowHeight="15840" xr2:uid="{A2796577-2B77-46AD-AA61-1F3F13C89F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H13" i="1"/>
  <c r="G13" i="1"/>
  <c r="F13" i="1"/>
  <c r="E13" i="1"/>
  <c r="F14" i="1"/>
  <c r="E14" i="1"/>
  <c r="J14" i="1"/>
  <c r="J21" i="1"/>
  <c r="J20" i="1"/>
  <c r="J19" i="1"/>
  <c r="J18" i="1"/>
  <c r="J17" i="1"/>
  <c r="J16" i="1"/>
  <c r="J15" i="1"/>
  <c r="F21" i="1"/>
  <c r="I21" i="1" s="1"/>
  <c r="E21" i="1"/>
  <c r="F20" i="1"/>
  <c r="I20" i="1" s="1"/>
  <c r="E20" i="1"/>
  <c r="H20" i="1" s="1"/>
  <c r="F19" i="1"/>
  <c r="E19" i="1"/>
  <c r="F18" i="1"/>
  <c r="E18" i="1"/>
  <c r="H18" i="1" s="1"/>
  <c r="F17" i="1"/>
  <c r="I17" i="1" s="1"/>
  <c r="E17" i="1"/>
  <c r="F16" i="1"/>
  <c r="E16" i="1"/>
  <c r="F15" i="1"/>
  <c r="E15" i="1"/>
  <c r="I14" i="1"/>
  <c r="I15" i="1"/>
  <c r="I16" i="1"/>
  <c r="I18" i="1"/>
  <c r="I19" i="1"/>
  <c r="H14" i="1"/>
  <c r="H15" i="1"/>
  <c r="H16" i="1"/>
  <c r="H17" i="1"/>
  <c r="H21" i="1"/>
  <c r="G14" i="1"/>
  <c r="G15" i="1"/>
  <c r="G16" i="1"/>
  <c r="G17" i="1"/>
  <c r="G18" i="1"/>
  <c r="G21" i="1" l="1"/>
  <c r="G20" i="1"/>
  <c r="H19" i="1"/>
  <c r="G19" i="1"/>
  <c r="N12" i="1" l="1" a="1"/>
  <c r="N12" i="1" s="1"/>
  <c r="L25" i="1" s="1" a="1"/>
  <c r="L25" i="1" s="1"/>
  <c r="D34" i="1" s="1" a="1"/>
  <c r="D34" i="1" s="1"/>
  <c r="K34" i="1" l="1" a="1"/>
  <c r="K34" i="1" s="1"/>
  <c r="E43" i="1" s="1" a="1"/>
  <c r="E4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<sst xmlns="http://schemas.openxmlformats.org/spreadsheetml/2006/main" count="58" uniqueCount="50">
  <si>
    <t xml:space="preserve"> 2 Facteurs</t>
  </si>
  <si>
    <t xml:space="preserve">Paramètres </t>
  </si>
  <si>
    <t>x1</t>
  </si>
  <si>
    <t>x2</t>
  </si>
  <si>
    <t>x3</t>
  </si>
  <si>
    <r>
      <rPr>
        <sz val="11"/>
        <color theme="1"/>
        <rFont val="Calibri"/>
      </rPr>
      <t>α</t>
    </r>
    <r>
      <rPr>
        <sz val="11"/>
        <color theme="1"/>
        <rFont val="Calibri"/>
        <family val="2"/>
      </rPr>
      <t>°</t>
    </r>
  </si>
  <si>
    <t>V0 m/s</t>
  </si>
  <si>
    <t>H m</t>
  </si>
  <si>
    <t>1er essai</t>
  </si>
  <si>
    <t>2ème essai</t>
  </si>
  <si>
    <t>Y2</t>
  </si>
  <si>
    <t>3ème essai</t>
  </si>
  <si>
    <t>Y3</t>
  </si>
  <si>
    <t>4ème essai</t>
  </si>
  <si>
    <t>Y4</t>
  </si>
  <si>
    <t>5ème essai</t>
  </si>
  <si>
    <t>Y</t>
  </si>
  <si>
    <t>Y5</t>
  </si>
  <si>
    <t>6ème essai</t>
  </si>
  <si>
    <t>Y6</t>
  </si>
  <si>
    <t>7ème essai</t>
  </si>
  <si>
    <t>Y7</t>
  </si>
  <si>
    <t>8ème essai</t>
  </si>
  <si>
    <t>Y8</t>
  </si>
  <si>
    <t>9ème essai</t>
  </si>
  <si>
    <t>Y9</t>
  </si>
  <si>
    <t>a0</t>
  </si>
  <si>
    <t>a1</t>
  </si>
  <si>
    <t>a2</t>
  </si>
  <si>
    <t>a12</t>
  </si>
  <si>
    <t>x12</t>
  </si>
  <si>
    <t>Essai 1</t>
  </si>
  <si>
    <t>Essai 2</t>
  </si>
  <si>
    <t>Essai 3</t>
  </si>
  <si>
    <t>Essai 4</t>
  </si>
  <si>
    <t xml:space="preserve">Matrice C </t>
  </si>
  <si>
    <t>Essai 5</t>
  </si>
  <si>
    <t>Essai 6</t>
  </si>
  <si>
    <t>Essai 7</t>
  </si>
  <si>
    <t>Essai 8</t>
  </si>
  <si>
    <t>Essai 9</t>
  </si>
  <si>
    <t>a11</t>
  </si>
  <si>
    <t>a22</t>
  </si>
  <si>
    <t>x11</t>
  </si>
  <si>
    <t>x22</t>
  </si>
  <si>
    <t>Matrice Ct</t>
  </si>
  <si>
    <t>Matrice CT*C</t>
  </si>
  <si>
    <t>Matrice inv</t>
  </si>
  <si>
    <t>Ct*y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</si>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</sst>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/>
    <xf numFmtId="0" fontId="0" fillId="6" borderId="0" xfId="0" applyFill="1"/>
    <xf numFmtId="0" fontId="0" fillId="7" borderId="1" xfId="0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0" fontId="0" fillId="4" borderId="0" xfId="0" applyFill="1" applyAlignment="1">
      <alignment vertical="top"/>
    </xf>
    <xf numFmtId="0" fontId="0" fillId="4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FB57-9651-4024-91CF-35E4D87C2B83}">
  <dimension ref="A1:V48"/>
  <sheetViews>
    <sheetView tabSelected="1" zoomScaleNormal="100" workbookViewId="0">
      <selection activeCell="B7" sqref="B7"/>
    </sheetView>
  </sheetViews>
  <sheetFormatPr baseColWidth="10" defaultRowHeight="15" x14ac:dyDescent="0.25"/>
  <sheetData>
    <row r="1" spans="1:22" x14ac:dyDescent="0.25">
      <c r="D1" s="15" t="s">
        <v>8</v>
      </c>
      <c r="E1" s="15"/>
      <c r="F1" s="15" t="s">
        <v>9</v>
      </c>
      <c r="G1" s="15"/>
      <c r="H1" s="15" t="s">
        <v>11</v>
      </c>
      <c r="I1" s="15"/>
      <c r="J1" s="15" t="s">
        <v>13</v>
      </c>
      <c r="K1" s="15"/>
      <c r="L1" s="15" t="s">
        <v>15</v>
      </c>
      <c r="M1" s="15"/>
      <c r="N1" s="15" t="s">
        <v>18</v>
      </c>
      <c r="O1" s="15"/>
      <c r="P1" s="15" t="s">
        <v>20</v>
      </c>
      <c r="Q1" s="15"/>
      <c r="R1" s="15" t="s">
        <v>22</v>
      </c>
      <c r="S1" s="15"/>
      <c r="T1" s="15" t="s">
        <v>24</v>
      </c>
      <c r="U1" s="15"/>
    </row>
    <row r="2" spans="1:22" x14ac:dyDescent="0.25">
      <c r="B2" t="s">
        <v>2</v>
      </c>
      <c r="C2" s="1" t="s">
        <v>5</v>
      </c>
      <c r="D2" s="3">
        <v>10</v>
      </c>
      <c r="E2" s="6" t="s">
        <v>49</v>
      </c>
      <c r="F2" s="7">
        <v>50</v>
      </c>
      <c r="G2" s="6" t="s">
        <v>10</v>
      </c>
      <c r="H2" s="7">
        <v>50</v>
      </c>
      <c r="I2" s="18" t="s">
        <v>12</v>
      </c>
      <c r="J2" s="7">
        <v>10</v>
      </c>
      <c r="K2" s="18" t="s">
        <v>14</v>
      </c>
      <c r="L2" s="7">
        <v>50</v>
      </c>
      <c r="M2" s="18" t="s">
        <v>17</v>
      </c>
      <c r="N2" s="7">
        <v>30</v>
      </c>
      <c r="O2" s="18" t="s">
        <v>19</v>
      </c>
      <c r="P2" s="7">
        <v>10</v>
      </c>
      <c r="Q2" s="18" t="s">
        <v>21</v>
      </c>
      <c r="R2" s="7">
        <v>30</v>
      </c>
      <c r="S2" s="18" t="s">
        <v>23</v>
      </c>
      <c r="T2" s="7">
        <v>30</v>
      </c>
      <c r="U2" s="18" t="s">
        <v>25</v>
      </c>
    </row>
    <row r="3" spans="1:22" x14ac:dyDescent="0.25">
      <c r="A3" t="s">
        <v>0</v>
      </c>
      <c r="B3" t="s">
        <v>3</v>
      </c>
      <c r="C3" t="s">
        <v>6</v>
      </c>
      <c r="D3" s="3">
        <v>8</v>
      </c>
      <c r="E3" s="6"/>
      <c r="F3" s="7">
        <v>8</v>
      </c>
      <c r="G3" s="6"/>
      <c r="H3" s="7">
        <v>10</v>
      </c>
      <c r="I3" s="18"/>
      <c r="J3" s="7">
        <v>10</v>
      </c>
      <c r="K3" s="18"/>
      <c r="L3" s="7">
        <v>9</v>
      </c>
      <c r="M3" s="18"/>
      <c r="N3" s="3">
        <v>9</v>
      </c>
      <c r="O3" s="18"/>
      <c r="P3" s="7">
        <v>9</v>
      </c>
      <c r="Q3" s="18"/>
      <c r="R3" s="7">
        <v>8</v>
      </c>
      <c r="S3" s="18"/>
      <c r="T3" s="7">
        <v>10</v>
      </c>
      <c r="U3" s="18"/>
    </row>
    <row r="4" spans="1:22" x14ac:dyDescent="0.25">
      <c r="A4" s="4" t="s">
        <v>1</v>
      </c>
      <c r="B4" s="4" t="s">
        <v>4</v>
      </c>
      <c r="C4" s="4" t="s">
        <v>7</v>
      </c>
      <c r="D4" s="5">
        <v>0</v>
      </c>
      <c r="E4" s="19">
        <v>2.19</v>
      </c>
      <c r="F4" s="8">
        <v>0</v>
      </c>
      <c r="G4" s="19">
        <v>6.3</v>
      </c>
      <c r="H4" s="8">
        <v>0</v>
      </c>
      <c r="I4" s="19">
        <v>9.85</v>
      </c>
      <c r="J4" s="8">
        <v>0</v>
      </c>
      <c r="K4" s="19">
        <v>3.42</v>
      </c>
      <c r="L4" s="8">
        <v>0</v>
      </c>
      <c r="M4" s="19">
        <v>7.98</v>
      </c>
      <c r="N4" s="8">
        <v>0</v>
      </c>
      <c r="O4" s="19">
        <v>7.01</v>
      </c>
      <c r="P4" s="8">
        <v>0</v>
      </c>
      <c r="Q4" s="19">
        <v>2.77</v>
      </c>
      <c r="R4" s="8">
        <v>0</v>
      </c>
      <c r="S4" s="19">
        <v>5.54</v>
      </c>
      <c r="T4" s="8">
        <v>0</v>
      </c>
      <c r="U4" s="19">
        <v>8.66</v>
      </c>
    </row>
    <row r="7" spans="1:22" x14ac:dyDescent="0.25">
      <c r="E7" s="9"/>
    </row>
    <row r="8" spans="1:22" x14ac:dyDescent="0.25">
      <c r="D8" s="2"/>
    </row>
    <row r="9" spans="1:22" x14ac:dyDescent="0.25">
      <c r="E9" s="2"/>
    </row>
    <row r="11" spans="1:22" x14ac:dyDescent="0.25">
      <c r="B11" t="s">
        <v>35</v>
      </c>
      <c r="C11" s="16" t="s">
        <v>26</v>
      </c>
      <c r="D11" s="16"/>
      <c r="E11" s="10" t="s">
        <v>27</v>
      </c>
      <c r="F11" s="10" t="s">
        <v>28</v>
      </c>
      <c r="G11" s="10" t="s">
        <v>29</v>
      </c>
      <c r="H11" s="10" t="s">
        <v>41</v>
      </c>
      <c r="I11" s="10" t="s">
        <v>42</v>
      </c>
      <c r="M11" t="s">
        <v>45</v>
      </c>
    </row>
    <row r="12" spans="1:22" x14ac:dyDescent="0.25">
      <c r="C12" s="17">
        <v>1</v>
      </c>
      <c r="D12" s="17"/>
      <c r="E12" s="10" t="s">
        <v>2</v>
      </c>
      <c r="F12" s="10" t="s">
        <v>3</v>
      </c>
      <c r="G12" s="10" t="s">
        <v>30</v>
      </c>
      <c r="H12" s="10" t="s">
        <v>43</v>
      </c>
      <c r="I12" s="10" t="s">
        <v>44</v>
      </c>
      <c r="J12" s="12" t="s">
        <v>16</v>
      </c>
      <c r="N12" cm="1">
        <f t="array" ref="N12:V17">TRANSPOSE(D13:I21)</f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 x14ac:dyDescent="0.25">
      <c r="B13" t="s">
        <v>31</v>
      </c>
      <c r="C13" s="11"/>
      <c r="D13" s="11">
        <v>1</v>
      </c>
      <c r="E13" s="10">
        <f>D2</f>
        <v>10</v>
      </c>
      <c r="F13" s="10">
        <f>D3</f>
        <v>8</v>
      </c>
      <c r="G13" s="10">
        <f>E13*F13</f>
        <v>80</v>
      </c>
      <c r="H13" s="10">
        <f>E13^2</f>
        <v>100</v>
      </c>
      <c r="I13" s="10">
        <f>F13^2</f>
        <v>64</v>
      </c>
      <c r="J13" s="12">
        <f>E4</f>
        <v>2.19</v>
      </c>
      <c r="N13">
        <v>10</v>
      </c>
      <c r="O13">
        <v>50</v>
      </c>
      <c r="P13">
        <v>50</v>
      </c>
      <c r="Q13">
        <v>10</v>
      </c>
      <c r="R13">
        <v>50</v>
      </c>
      <c r="S13">
        <v>30</v>
      </c>
      <c r="T13">
        <v>10</v>
      </c>
      <c r="U13">
        <v>30</v>
      </c>
      <c r="V13">
        <v>30</v>
      </c>
    </row>
    <row r="14" spans="1:22" x14ac:dyDescent="0.25">
      <c r="B14" t="s">
        <v>32</v>
      </c>
      <c r="C14" s="11"/>
      <c r="D14" s="11">
        <v>1</v>
      </c>
      <c r="E14" s="10">
        <f>F2</f>
        <v>50</v>
      </c>
      <c r="F14" s="10">
        <f>F3</f>
        <v>8</v>
      </c>
      <c r="G14" s="10">
        <f t="shared" ref="G14:G21" si="0">E14*F14</f>
        <v>400</v>
      </c>
      <c r="H14" s="10">
        <f t="shared" ref="H14:H21" si="1">E14^2</f>
        <v>2500</v>
      </c>
      <c r="I14" s="10">
        <f t="shared" ref="I14:I21" si="2">F14^2</f>
        <v>64</v>
      </c>
      <c r="J14" s="12">
        <f>G4</f>
        <v>6.3</v>
      </c>
      <c r="N14">
        <v>8</v>
      </c>
      <c r="O14">
        <v>8</v>
      </c>
      <c r="P14">
        <v>10</v>
      </c>
      <c r="Q14">
        <v>10</v>
      </c>
      <c r="R14">
        <v>9</v>
      </c>
      <c r="S14">
        <v>9</v>
      </c>
      <c r="T14">
        <v>9</v>
      </c>
      <c r="U14">
        <v>8</v>
      </c>
      <c r="V14">
        <v>10</v>
      </c>
    </row>
    <row r="15" spans="1:22" x14ac:dyDescent="0.25">
      <c r="B15" t="s">
        <v>33</v>
      </c>
      <c r="C15" s="11"/>
      <c r="D15" s="11">
        <v>1</v>
      </c>
      <c r="E15" s="10">
        <f>H2</f>
        <v>50</v>
      </c>
      <c r="F15" s="10">
        <f>H3</f>
        <v>10</v>
      </c>
      <c r="G15" s="10">
        <f t="shared" si="0"/>
        <v>500</v>
      </c>
      <c r="H15" s="10">
        <f t="shared" si="1"/>
        <v>2500</v>
      </c>
      <c r="I15" s="10">
        <f t="shared" si="2"/>
        <v>100</v>
      </c>
      <c r="J15" s="12">
        <f>I4</f>
        <v>9.85</v>
      </c>
      <c r="N15">
        <v>80</v>
      </c>
      <c r="O15">
        <v>400</v>
      </c>
      <c r="P15">
        <v>500</v>
      </c>
      <c r="Q15">
        <v>100</v>
      </c>
      <c r="R15">
        <v>450</v>
      </c>
      <c r="S15">
        <v>270</v>
      </c>
      <c r="T15">
        <v>90</v>
      </c>
      <c r="U15">
        <v>240</v>
      </c>
      <c r="V15">
        <v>300</v>
      </c>
    </row>
    <row r="16" spans="1:22" x14ac:dyDescent="0.25">
      <c r="B16" t="s">
        <v>34</v>
      </c>
      <c r="C16" s="11"/>
      <c r="D16" s="11">
        <v>1</v>
      </c>
      <c r="E16" s="10">
        <f>J2</f>
        <v>10</v>
      </c>
      <c r="F16" s="10">
        <f>J3</f>
        <v>10</v>
      </c>
      <c r="G16" s="10">
        <f t="shared" si="0"/>
        <v>100</v>
      </c>
      <c r="H16" s="10">
        <f t="shared" si="1"/>
        <v>100</v>
      </c>
      <c r="I16" s="10">
        <f t="shared" si="2"/>
        <v>100</v>
      </c>
      <c r="J16" s="12">
        <f>K4</f>
        <v>3.42</v>
      </c>
      <c r="N16">
        <v>100</v>
      </c>
      <c r="O16">
        <v>2500</v>
      </c>
      <c r="P16">
        <v>2500</v>
      </c>
      <c r="Q16">
        <v>100</v>
      </c>
      <c r="R16">
        <v>2500</v>
      </c>
      <c r="S16">
        <v>900</v>
      </c>
      <c r="T16">
        <v>100</v>
      </c>
      <c r="U16">
        <v>900</v>
      </c>
      <c r="V16">
        <v>900</v>
      </c>
    </row>
    <row r="17" spans="2:22" x14ac:dyDescent="0.25">
      <c r="B17" t="s">
        <v>36</v>
      </c>
      <c r="C17" s="10"/>
      <c r="D17" s="10">
        <v>1</v>
      </c>
      <c r="E17" s="10">
        <f>L2</f>
        <v>50</v>
      </c>
      <c r="F17" s="10">
        <f>L3</f>
        <v>9</v>
      </c>
      <c r="G17" s="10">
        <f t="shared" si="0"/>
        <v>450</v>
      </c>
      <c r="H17" s="10">
        <f t="shared" si="1"/>
        <v>2500</v>
      </c>
      <c r="I17" s="10">
        <f t="shared" si="2"/>
        <v>81</v>
      </c>
      <c r="J17" s="12">
        <f>M4</f>
        <v>7.98</v>
      </c>
      <c r="N17">
        <v>64</v>
      </c>
      <c r="O17">
        <v>64</v>
      </c>
      <c r="P17">
        <v>100</v>
      </c>
      <c r="Q17">
        <v>100</v>
      </c>
      <c r="R17">
        <v>81</v>
      </c>
      <c r="S17">
        <v>81</v>
      </c>
      <c r="T17">
        <v>81</v>
      </c>
      <c r="U17">
        <v>64</v>
      </c>
      <c r="V17">
        <v>100</v>
      </c>
    </row>
    <row r="18" spans="2:22" x14ac:dyDescent="0.25">
      <c r="B18" t="s">
        <v>37</v>
      </c>
      <c r="C18" s="10"/>
      <c r="D18" s="10">
        <v>1</v>
      </c>
      <c r="E18" s="10">
        <f>N2</f>
        <v>30</v>
      </c>
      <c r="F18" s="10">
        <f>N3</f>
        <v>9</v>
      </c>
      <c r="G18" s="10">
        <f t="shared" si="0"/>
        <v>270</v>
      </c>
      <c r="H18" s="10">
        <f t="shared" si="1"/>
        <v>900</v>
      </c>
      <c r="I18" s="10">
        <f t="shared" si="2"/>
        <v>81</v>
      </c>
      <c r="J18" s="12">
        <f>O4</f>
        <v>7.01</v>
      </c>
    </row>
    <row r="19" spans="2:22" x14ac:dyDescent="0.25">
      <c r="B19" t="s">
        <v>38</v>
      </c>
      <c r="C19" s="10"/>
      <c r="D19" s="10">
        <v>1</v>
      </c>
      <c r="E19" s="10">
        <f>P2</f>
        <v>10</v>
      </c>
      <c r="F19" s="10">
        <f>P3</f>
        <v>9</v>
      </c>
      <c r="G19" s="10">
        <f t="shared" si="0"/>
        <v>90</v>
      </c>
      <c r="H19" s="10">
        <f t="shared" si="1"/>
        <v>100</v>
      </c>
      <c r="I19" s="10">
        <f t="shared" si="2"/>
        <v>81</v>
      </c>
      <c r="J19" s="12">
        <f>Q4</f>
        <v>2.77</v>
      </c>
    </row>
    <row r="20" spans="2:22" x14ac:dyDescent="0.25">
      <c r="B20" t="s">
        <v>39</v>
      </c>
      <c r="C20" s="10"/>
      <c r="D20" s="10">
        <v>1</v>
      </c>
      <c r="E20" s="10">
        <f>R2</f>
        <v>30</v>
      </c>
      <c r="F20" s="10">
        <f>R3</f>
        <v>8</v>
      </c>
      <c r="G20" s="10">
        <f t="shared" si="0"/>
        <v>240</v>
      </c>
      <c r="H20" s="10">
        <f t="shared" si="1"/>
        <v>900</v>
      </c>
      <c r="I20" s="10">
        <f t="shared" si="2"/>
        <v>64</v>
      </c>
      <c r="J20" s="12">
        <f>S4</f>
        <v>5.54</v>
      </c>
    </row>
    <row r="21" spans="2:22" x14ac:dyDescent="0.25">
      <c r="B21" t="s">
        <v>40</v>
      </c>
      <c r="C21" s="10"/>
      <c r="D21" s="10">
        <v>1</v>
      </c>
      <c r="E21" s="10">
        <f>T2</f>
        <v>30</v>
      </c>
      <c r="F21" s="10">
        <f>T3</f>
        <v>10</v>
      </c>
      <c r="G21" s="10">
        <f t="shared" si="0"/>
        <v>300</v>
      </c>
      <c r="H21" s="10">
        <f t="shared" si="1"/>
        <v>900</v>
      </c>
      <c r="I21" s="10">
        <f t="shared" si="2"/>
        <v>100</v>
      </c>
      <c r="J21" s="12">
        <f>U4</f>
        <v>8.66</v>
      </c>
    </row>
    <row r="24" spans="2:22" x14ac:dyDescent="0.25">
      <c r="K24" t="s">
        <v>46</v>
      </c>
    </row>
    <row r="25" spans="2:22" x14ac:dyDescent="0.25">
      <c r="C25" s="10"/>
      <c r="D25" s="10"/>
      <c r="E25" s="10"/>
      <c r="F25" s="10"/>
      <c r="G25" s="10"/>
      <c r="H25" s="10"/>
      <c r="L25" s="10" cm="1">
        <f t="array" ref="L25:Q30">MMULT(_xlfn.ANCHORARRAY(N12),D13:I21)</f>
        <v>9</v>
      </c>
      <c r="M25" s="10">
        <v>270</v>
      </c>
      <c r="N25" s="10">
        <v>81</v>
      </c>
      <c r="O25" s="10">
        <v>2430</v>
      </c>
      <c r="P25" s="10">
        <v>10500</v>
      </c>
      <c r="Q25" s="10">
        <v>735</v>
      </c>
    </row>
    <row r="26" spans="2:22" x14ac:dyDescent="0.25">
      <c r="C26" s="10"/>
      <c r="D26" s="10"/>
      <c r="E26" s="10"/>
      <c r="F26" s="10"/>
      <c r="G26" s="10"/>
      <c r="H26" s="10"/>
      <c r="L26" s="10">
        <v>270</v>
      </c>
      <c r="M26" s="10">
        <v>10500</v>
      </c>
      <c r="N26" s="10">
        <v>2430</v>
      </c>
      <c r="O26" s="10">
        <v>94500</v>
      </c>
      <c r="P26" s="10">
        <v>459000</v>
      </c>
      <c r="Q26" s="10">
        <v>22050</v>
      </c>
    </row>
    <row r="27" spans="2:22" x14ac:dyDescent="0.25">
      <c r="C27" s="10"/>
      <c r="D27" s="10"/>
      <c r="E27" s="10"/>
      <c r="F27" s="10"/>
      <c r="G27" s="10"/>
      <c r="H27" s="10"/>
      <c r="L27" s="10">
        <v>81</v>
      </c>
      <c r="M27" s="10">
        <v>2430</v>
      </c>
      <c r="N27" s="10">
        <v>735</v>
      </c>
      <c r="O27" s="10">
        <v>22050</v>
      </c>
      <c r="P27" s="10">
        <v>94500</v>
      </c>
      <c r="Q27" s="10">
        <v>6723</v>
      </c>
    </row>
    <row r="28" spans="2:22" x14ac:dyDescent="0.25">
      <c r="C28" s="10"/>
      <c r="D28" s="10"/>
      <c r="E28" s="10"/>
      <c r="F28" s="10"/>
      <c r="G28" s="10"/>
      <c r="H28" s="10"/>
      <c r="L28" s="10">
        <v>2430</v>
      </c>
      <c r="M28" s="10">
        <v>94500</v>
      </c>
      <c r="N28" s="10">
        <v>22050</v>
      </c>
      <c r="O28" s="10">
        <v>857500</v>
      </c>
      <c r="P28" s="10">
        <v>4131000</v>
      </c>
      <c r="Q28" s="10">
        <v>201690</v>
      </c>
    </row>
    <row r="29" spans="2:22" x14ac:dyDescent="0.25">
      <c r="C29" s="10"/>
      <c r="D29" s="10"/>
      <c r="E29" s="10"/>
      <c r="F29" s="10"/>
      <c r="G29" s="10"/>
      <c r="H29" s="10"/>
      <c r="L29" s="10">
        <v>10500</v>
      </c>
      <c r="M29" s="10">
        <v>459000</v>
      </c>
      <c r="N29" s="10">
        <v>94500</v>
      </c>
      <c r="O29" s="10">
        <v>4131000</v>
      </c>
      <c r="P29" s="10">
        <v>21210000</v>
      </c>
      <c r="Q29" s="10">
        <v>857500</v>
      </c>
    </row>
    <row r="30" spans="2:22" x14ac:dyDescent="0.25">
      <c r="C30" s="10"/>
      <c r="D30" s="10"/>
      <c r="E30" s="10"/>
      <c r="F30" s="10"/>
      <c r="G30" s="10"/>
      <c r="H30" s="10"/>
      <c r="L30" s="10">
        <v>735</v>
      </c>
      <c r="M30" s="10">
        <v>22050</v>
      </c>
      <c r="N30" s="10">
        <v>6723</v>
      </c>
      <c r="O30" s="10">
        <v>201690</v>
      </c>
      <c r="P30" s="10">
        <v>857500</v>
      </c>
      <c r="Q30" s="10">
        <v>61971</v>
      </c>
    </row>
    <row r="33" spans="3:11" x14ac:dyDescent="0.25">
      <c r="C33" t="s">
        <v>47</v>
      </c>
      <c r="K33" t="s">
        <v>48</v>
      </c>
    </row>
    <row r="34" spans="3:11" x14ac:dyDescent="0.25">
      <c r="D34" s="10" cm="1">
        <f t="array" ref="D34:I39">MINVERSE(_xlfn.ANCHORARRAY(L25))</f>
        <v>3287.5243055399715</v>
      </c>
      <c r="E34" s="10">
        <v>-1.6499999999766028</v>
      </c>
      <c r="F34" s="10">
        <v>-729.56249999659371</v>
      </c>
      <c r="G34" s="10">
        <v>0.16874999999736642</v>
      </c>
      <c r="H34" s="10">
        <v>1.9791666666774585E-3</v>
      </c>
      <c r="I34" s="10">
        <v>40.166666666482172</v>
      </c>
      <c r="K34" s="13" cm="1">
        <f t="array" ref="K34:K39">MMULT(_xlfn.ANCHORARRAY(N12),J13:J21)</f>
        <v>53.72</v>
      </c>
    </row>
    <row r="35" spans="3:11" x14ac:dyDescent="0.25">
      <c r="D35" s="10">
        <v>-1.6499999999999231</v>
      </c>
      <c r="E35" s="10">
        <v>6.2291666666661784E-2</v>
      </c>
      <c r="F35" s="10">
        <v>0.16874999999999968</v>
      </c>
      <c r="G35" s="10">
        <v>-5.6249999999994135E-3</v>
      </c>
      <c r="H35" s="10">
        <v>-1.8750000000000816E-4</v>
      </c>
      <c r="I35" s="10">
        <v>-9.5016046146477306E-16</v>
      </c>
      <c r="K35" s="13">
        <v>1926.6</v>
      </c>
    </row>
    <row r="36" spans="3:11" x14ac:dyDescent="0.25">
      <c r="D36" s="10">
        <v>-729.56249999650811</v>
      </c>
      <c r="E36" s="10">
        <v>0.16874999999477519</v>
      </c>
      <c r="F36" s="10">
        <v>162.72916666590345</v>
      </c>
      <c r="G36" s="10">
        <v>-1.874999999941206E-2</v>
      </c>
      <c r="H36" s="10">
        <v>-2.3822698166037376E-15</v>
      </c>
      <c r="I36" s="10">
        <v>-8.9999999999586588</v>
      </c>
      <c r="K36" s="13">
        <v>491.38</v>
      </c>
    </row>
    <row r="37" spans="3:11" x14ac:dyDescent="0.25">
      <c r="D37" s="10">
        <v>0.16874999999998966</v>
      </c>
      <c r="E37" s="10">
        <v>-5.6249999999994603E-3</v>
      </c>
      <c r="F37" s="10">
        <v>-1.8749999999999538E-2</v>
      </c>
      <c r="G37" s="10">
        <v>6.2499999999993637E-4</v>
      </c>
      <c r="H37" s="10">
        <v>7.2822959209507551E-19</v>
      </c>
      <c r="I37" s="10">
        <v>8.08052455357152E-17</v>
      </c>
      <c r="K37" s="13">
        <v>17622.800000000003</v>
      </c>
    </row>
    <row r="38" spans="3:11" x14ac:dyDescent="0.25">
      <c r="D38" s="10">
        <v>1.9791666666669023E-3</v>
      </c>
      <c r="E38" s="10">
        <v>-1.8749999999999954E-4</v>
      </c>
      <c r="F38" s="10">
        <v>-5.5634957222080653E-17</v>
      </c>
      <c r="G38" s="10">
        <v>-2.1286502653152067E-19</v>
      </c>
      <c r="H38" s="10">
        <v>3.1250000000000247E-6</v>
      </c>
      <c r="I38" s="10">
        <v>3.4464132792439344E-18</v>
      </c>
      <c r="K38" s="13">
        <v>80252</v>
      </c>
    </row>
    <row r="39" spans="3:11" x14ac:dyDescent="0.25">
      <c r="D39" s="10">
        <v>40.166666666472686</v>
      </c>
      <c r="E39" s="10">
        <v>2.8930330353420689E-13</v>
      </c>
      <c r="F39" s="10">
        <v>-8.9999999999576001</v>
      </c>
      <c r="G39" s="10">
        <v>-3.2547460097281671E-14</v>
      </c>
      <c r="H39" s="10">
        <v>1.3064636178387234E-16</v>
      </c>
      <c r="I39" s="10">
        <v>0.49999999999770312</v>
      </c>
      <c r="K39" s="13">
        <v>4529.4799999999996</v>
      </c>
    </row>
    <row r="43" spans="3:11" x14ac:dyDescent="0.25">
      <c r="D43" s="14" t="s">
        <v>26</v>
      </c>
      <c r="E43" s="14" cm="1">
        <f t="array" ref="E43:E48">MMULT(_xlfn.ANCHORARRAY(D34),_xlfn.ANCHORARRAY(K34))</f>
        <v>1.2873611115501262</v>
      </c>
    </row>
    <row r="44" spans="3:11" x14ac:dyDescent="0.25">
      <c r="D44" s="14" t="s">
        <v>27</v>
      </c>
      <c r="E44" s="14">
        <v>0.11799999999991544</v>
      </c>
    </row>
    <row r="45" spans="3:11" x14ac:dyDescent="0.25">
      <c r="D45" s="14" t="s">
        <v>28</v>
      </c>
      <c r="E45" s="14">
        <v>-0.87333333340939134</v>
      </c>
    </row>
    <row r="46" spans="3:11" x14ac:dyDescent="0.25">
      <c r="D46" s="14" t="s">
        <v>29</v>
      </c>
      <c r="E46" s="14">
        <v>2.9000000000015801E-2</v>
      </c>
    </row>
    <row r="47" spans="3:11" x14ac:dyDescent="0.25">
      <c r="D47" s="14" t="s">
        <v>41</v>
      </c>
      <c r="E47" s="14">
        <v>-4.1291666666666161E-3</v>
      </c>
    </row>
    <row r="48" spans="3:11" x14ac:dyDescent="0.25">
      <c r="D48" s="14" t="s">
        <v>42</v>
      </c>
      <c r="E48" s="14">
        <v>7.3333333337814111E-2</v>
      </c>
    </row>
  </sheetData>
  <mergeCells count="11">
    <mergeCell ref="C12:D12"/>
    <mergeCell ref="L1:M1"/>
    <mergeCell ref="N1:O1"/>
    <mergeCell ref="D1:E1"/>
    <mergeCell ref="F1:G1"/>
    <mergeCell ref="H1:I1"/>
    <mergeCell ref="J1:K1"/>
    <mergeCell ref="R1:S1"/>
    <mergeCell ref="T1:U1"/>
    <mergeCell ref="C11:D11"/>
    <mergeCell ref="P1:Q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pelvoux3</dc:creator>
  <cp:lastModifiedBy>pelvoux3</cp:lastModifiedBy>
  <dcterms:created xsi:type="dcterms:W3CDTF">2026-05-19T13:20:29Z</dcterms:created>
  <dcterms:modified xsi:type="dcterms:W3CDTF">2026-05-20T10:27:03Z</dcterms:modified>
</cp:coreProperties>
</file>